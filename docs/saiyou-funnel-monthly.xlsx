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シミュレーション" sheetId="1" state="visible" r:id="rId1"/>
    <sheet name="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&quot;万&quot;"/>
    <numFmt numFmtId="166" formatCode="0.0"/>
    <numFmt numFmtId="167" formatCode="+0.0;-0.0;0.0"/>
  </numFmts>
  <fonts count="10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9A6B00"/>
      <sz val="10"/>
    </font>
    <font>
      <name val="Arial"/>
      <b val="1"/>
      <color rgb="00FFFFFF"/>
      <sz val="9"/>
    </font>
    <font>
      <name val="Arial"/>
      <color rgb="00999999"/>
      <sz val="9"/>
    </font>
    <font>
      <name val="Arial"/>
      <b val="1"/>
      <color rgb="001B3A8A"/>
      <sz val="12"/>
    </font>
  </fonts>
  <fills count="7">
    <fill>
      <patternFill/>
    </fill>
    <fill>
      <patternFill patternType="gray125"/>
    </fill>
    <fill>
      <patternFill patternType="solid">
        <fgColor rgb="00FFF2B2"/>
      </patternFill>
    </fill>
    <fill>
      <patternFill patternType="solid">
        <fgColor rgb="00FBE9BF"/>
      </patternFill>
    </fill>
    <fill>
      <patternFill patternType="solid">
        <fgColor rgb="003B4CC0"/>
      </patternFill>
    </fill>
    <fill>
      <patternFill patternType="solid">
        <fgColor rgb="00EDEFF6"/>
      </patternFill>
    </fill>
    <fill>
      <patternFill patternType="solid">
        <fgColor rgb="00EAECFA"/>
      </patternFill>
    </fill>
  </fills>
  <borders count="2">
    <border>
      <left/>
      <right/>
      <top/>
      <bottom/>
      <diagonal/>
    </border>
    <border>
      <left style="thin">
        <color rgb="00C9CEDC"/>
      </left>
      <right style="thin">
        <color rgb="00C9CEDC"/>
      </right>
      <top style="thin">
        <color rgb="00C9CEDC"/>
      </top>
      <bottom style="thin">
        <color rgb="00C9CE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6" fillId="0" borderId="0" pivotButton="0" quotePrefix="0" xfId="0"/>
    <xf numFmtId="164" fontId="5" fillId="3" borderId="1" applyAlignment="1" pivotButton="0" quotePrefix="0" xfId="0">
      <alignment horizontal="right"/>
    </xf>
    <xf numFmtId="164" fontId="2" fillId="0" borderId="0" pivotButton="0" quotePrefix="0" xfId="0"/>
    <xf numFmtId="165" fontId="5" fillId="2" borderId="1" applyAlignment="1" pivotButton="0" quotePrefix="0" xfId="0">
      <alignment horizontal="right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" fontId="5" fillId="5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166" fontId="8" fillId="5" borderId="1" applyAlignment="1" pivotButton="0" quotePrefix="0" xfId="0">
      <alignment horizontal="right"/>
    </xf>
    <xf numFmtId="166" fontId="9" fillId="6" borderId="1" applyAlignment="1" pivotButton="0" quotePrefix="0" xfId="0">
      <alignment horizontal="right"/>
    </xf>
    <xf numFmtId="167" fontId="9" fillId="6" borderId="1" applyAlignment="1" pivotButton="0" quotePrefix="0" xfId="0">
      <alignment horizontal="right"/>
    </xf>
    <xf numFmtId="165" fontId="9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月末在籍の推移（vs 目標）</a:t>
            </a:r>
          </a:p>
        </rich>
      </tx>
    </title>
    <plotArea>
      <lineChart>
        <grouping val="standard"/>
        <ser>
          <idx val="0"/>
          <order val="0"/>
          <tx>
            <strRef>
              <f>'月次シミュレーション'!K19</f>
            </strRef>
          </tx>
          <spPr>
            <a:ln w="28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'月次シミュレーション'!$A$20:$A$33</f>
            </numRef>
          </cat>
          <val>
            <numRef>
              <f>'月次シミュレーション'!$K$20:$K$33</f>
            </numRef>
          </val>
        </ser>
        <ser>
          <idx val="1"/>
          <order val="1"/>
          <tx>
            <strRef>
              <f>'月次シミュレーション'!P19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'月次シミュレーション'!$A$20:$A$33</f>
            </numRef>
          </cat>
          <val>
            <numRef>
              <f>'月次シミュレーション'!$P$20:$P$33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在籍（名）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8" customWidth="1" min="4" max="4"/>
    <col width="8" customWidth="1" min="5" max="5"/>
    <col width="7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8" customWidth="1" min="15" max="15"/>
    <col width="7" customWidth="1" min="16" max="16"/>
  </cols>
  <sheetData>
    <row r="1">
      <c r="A1" s="1" t="inlineStr">
        <is>
          <t>採用ファネル 月次シミュレーション（方針対応・5段）</t>
        </is>
      </c>
    </row>
    <row r="2">
      <c r="A2" s="2" t="inlineStr">
        <is>
          <t>応募数を月ごとに入力→1次面接→1次通過→内定→承諾→在籍が毎月計算されます。★C7（1次通過）が方針レバー：18%→60%で在籍カーブが跳ねます。</t>
        </is>
      </c>
    </row>
    <row r="4">
      <c r="B4" s="3" t="inlineStr">
        <is>
          <t>◆ 前提（黄色セルを編集／★＝方針レバー）</t>
        </is>
      </c>
    </row>
    <row r="5">
      <c r="B5" s="4" t="inlineStr">
        <is>
          <t>期首在籍（2026/9/1）</t>
        </is>
      </c>
      <c r="C5" s="5" t="n">
        <v>25</v>
      </c>
    </row>
    <row r="6">
      <c r="B6" s="4" t="inlineStr">
        <is>
          <t>応募→1次面接</t>
        </is>
      </c>
      <c r="C6" s="6" t="n">
        <v>0.21</v>
      </c>
    </row>
    <row r="7">
      <c r="B7" s="7" t="inlineStr">
        <is>
          <t>★1次面接→通過（1次選考通過率）</t>
        </is>
      </c>
      <c r="C7" s="8" t="n">
        <v>0.18</v>
      </c>
      <c r="D7" s="7" t="inlineStr">
        <is>
          <t>← 方針では 0.60</t>
        </is>
      </c>
    </row>
    <row r="8">
      <c r="B8" s="4" t="inlineStr">
        <is>
          <t>最終選考→内定（最終選考通過率）</t>
        </is>
      </c>
      <c r="C8" s="6" t="n">
        <v>0.6</v>
      </c>
    </row>
    <row r="9">
      <c r="B9" s="4" t="inlineStr">
        <is>
          <t>内定→承諾（採用）</t>
        </is>
      </c>
      <c r="C9" s="6" t="n">
        <v>0.62</v>
      </c>
    </row>
    <row r="10">
      <c r="B10" s="4" t="inlineStr">
        <is>
          <t>リードタイム（応募→入社・月）</t>
        </is>
      </c>
      <c r="C10" s="5" t="n">
        <v>1</v>
      </c>
      <c r="E10" s="9">
        <f>1-(1-C11)^12</f>
        <v/>
      </c>
      <c r="F10" s="2" t="inlineStr">
        <is>
          <t>（月次離職率の年換算）</t>
        </is>
      </c>
    </row>
    <row r="11">
      <c r="B11" s="4" t="inlineStr">
        <is>
          <t>月次離職率</t>
        </is>
      </c>
      <c r="C11" s="6" t="n">
        <v>0.015</v>
      </c>
    </row>
    <row r="12">
      <c r="B12" s="4" t="inlineStr">
        <is>
          <t>媒体・応募獲得費（月・固定）</t>
        </is>
      </c>
      <c r="C12" s="10" t="n">
        <v>42</v>
      </c>
    </row>
    <row r="13">
      <c r="B13" s="4" t="inlineStr">
        <is>
          <t>成功報酬（採用1名あたり）</t>
        </is>
      </c>
      <c r="C13" s="10" t="n">
        <v>50</v>
      </c>
    </row>
    <row r="14">
      <c r="B14" s="4" t="inlineStr">
        <is>
          <t>定着投資（月）</t>
        </is>
      </c>
      <c r="C14" s="10" t="n">
        <v>73</v>
      </c>
    </row>
    <row r="15">
      <c r="B15" s="4" t="inlineStr">
        <is>
          <t>目標在籍</t>
        </is>
      </c>
      <c r="C15" s="5" t="n">
        <v>55</v>
      </c>
    </row>
    <row r="17">
      <c r="B17" s="3" t="inlineStr">
        <is>
          <t>◆ 月次テーブル（C列＝応募数を月ごとに入力。早い月に厚くすると在籍カーブが前倒し）</t>
        </is>
      </c>
    </row>
    <row r="19">
      <c r="A19" s="11" t="inlineStr">
        <is>
          <t>月</t>
        </is>
      </c>
      <c r="B19" s="11" t="inlineStr">
        <is>
          <t>月番号</t>
        </is>
      </c>
      <c r="C19" s="11" t="inlineStr">
        <is>
          <t>応募数</t>
        </is>
      </c>
      <c r="D19" s="11" t="inlineStr">
        <is>
          <t>1次面接</t>
        </is>
      </c>
      <c r="E19" s="11" t="inlineStr">
        <is>
          <t>1次通過</t>
        </is>
      </c>
      <c r="F19" s="11" t="inlineStr">
        <is>
          <t>内定</t>
        </is>
      </c>
      <c r="G19" s="11" t="inlineStr">
        <is>
          <t>承諾</t>
        </is>
      </c>
      <c r="H19" s="11" t="inlineStr">
        <is>
          <t>当月入社</t>
        </is>
      </c>
      <c r="I19" s="11" t="inlineStr">
        <is>
          <t>月初在籍</t>
        </is>
      </c>
      <c r="J19" s="11" t="inlineStr">
        <is>
          <t>当月離職</t>
        </is>
      </c>
      <c r="K19" s="11" t="inlineStr">
        <is>
          <t>月末在籍</t>
        </is>
      </c>
      <c r="L19" s="11" t="inlineStr">
        <is>
          <t>累計入社</t>
        </is>
      </c>
      <c r="M19" s="11" t="inlineStr">
        <is>
          <t>当月直接費</t>
        </is>
      </c>
      <c r="N19" s="11" t="inlineStr">
        <is>
          <t>累計直接費</t>
        </is>
      </c>
      <c r="O19" s="11" t="inlineStr">
        <is>
          <t>目標差</t>
        </is>
      </c>
      <c r="P19" s="11" t="inlineStr">
        <is>
          <t>目標</t>
        </is>
      </c>
    </row>
    <row r="20">
      <c r="A20" s="12" t="inlineStr">
        <is>
          <t>2026/09</t>
        </is>
      </c>
      <c r="B20" s="12" t="n">
        <v>1</v>
      </c>
      <c r="C20" s="5" t="n">
        <v>55</v>
      </c>
      <c r="D20" s="13">
        <f>C20*$C$6</f>
        <v/>
      </c>
      <c r="E20" s="13">
        <f>D20*$C$7</f>
        <v/>
      </c>
      <c r="F20" s="13">
        <f>E20*$C$8</f>
        <v/>
      </c>
      <c r="G20" s="13">
        <f>F20*$C$9</f>
        <v/>
      </c>
      <c r="H20" s="13">
        <f>IF(B20&gt;$C$10,INDEX($G$20:$G$33,B20-$C$10),0)</f>
        <v/>
      </c>
      <c r="I20" s="13">
        <f>$C$5</f>
        <v/>
      </c>
      <c r="J20" s="13">
        <f>I20*$C$11</f>
        <v/>
      </c>
      <c r="K20" s="13">
        <f>I20+H20-J20</f>
        <v/>
      </c>
      <c r="L20" s="13">
        <f>H20</f>
        <v/>
      </c>
      <c r="M20" s="14">
        <f>$C$12+H20*$C$13</f>
        <v/>
      </c>
      <c r="N20" s="14">
        <f>M20</f>
        <v/>
      </c>
      <c r="O20" s="15">
        <f>K20-$C$15</f>
        <v/>
      </c>
      <c r="P20" s="16">
        <f>$C$15</f>
        <v/>
      </c>
    </row>
    <row r="21">
      <c r="A21" s="12" t="inlineStr">
        <is>
          <t>2026/10</t>
        </is>
      </c>
      <c r="B21" s="12" t="n">
        <v>2</v>
      </c>
      <c r="C21" s="17" t="n">
        <v>55</v>
      </c>
      <c r="D21" s="18">
        <f>C21*$C$6</f>
        <v/>
      </c>
      <c r="E21" s="18">
        <f>D21*$C$7</f>
        <v/>
      </c>
      <c r="F21" s="18">
        <f>E21*$C$8</f>
        <v/>
      </c>
      <c r="G21" s="18">
        <f>F21*$C$9</f>
        <v/>
      </c>
      <c r="H21" s="18">
        <f>IF(B21&gt;$C$10,INDEX($G$20:$G$33,B21-$C$10),0)</f>
        <v/>
      </c>
      <c r="I21" s="18">
        <f>K20</f>
        <v/>
      </c>
      <c r="J21" s="18">
        <f>I21*$C$11</f>
        <v/>
      </c>
      <c r="K21" s="18">
        <f>I21+H21-J21</f>
        <v/>
      </c>
      <c r="L21" s="18">
        <f>L20+H21</f>
        <v/>
      </c>
      <c r="M21" s="19">
        <f>$C$12+H21*$C$13</f>
        <v/>
      </c>
      <c r="N21" s="19">
        <f>N20+M21</f>
        <v/>
      </c>
      <c r="O21" s="20">
        <f>K21-$C$15</f>
        <v/>
      </c>
      <c r="P21" s="21">
        <f>$C$15</f>
        <v/>
      </c>
    </row>
    <row r="22">
      <c r="A22" s="12" t="inlineStr">
        <is>
          <t>2026/11</t>
        </is>
      </c>
      <c r="B22" s="12" t="n">
        <v>3</v>
      </c>
      <c r="C22" s="5" t="n">
        <v>55</v>
      </c>
      <c r="D22" s="13">
        <f>C22*$C$6</f>
        <v/>
      </c>
      <c r="E22" s="13">
        <f>D22*$C$7</f>
        <v/>
      </c>
      <c r="F22" s="13">
        <f>E22*$C$8</f>
        <v/>
      </c>
      <c r="G22" s="13">
        <f>F22*$C$9</f>
        <v/>
      </c>
      <c r="H22" s="13">
        <f>IF(B22&gt;$C$10,INDEX($G$20:$G$33,B22-$C$10),0)</f>
        <v/>
      </c>
      <c r="I22" s="13">
        <f>K21</f>
        <v/>
      </c>
      <c r="J22" s="13">
        <f>I22*$C$11</f>
        <v/>
      </c>
      <c r="K22" s="13">
        <f>I22+H22-J22</f>
        <v/>
      </c>
      <c r="L22" s="13">
        <f>L21+H22</f>
        <v/>
      </c>
      <c r="M22" s="14">
        <f>$C$12+H22*$C$13</f>
        <v/>
      </c>
      <c r="N22" s="14">
        <f>N21+M22</f>
        <v/>
      </c>
      <c r="O22" s="15">
        <f>K22-$C$15</f>
        <v/>
      </c>
      <c r="P22" s="16">
        <f>$C$15</f>
        <v/>
      </c>
    </row>
    <row r="23">
      <c r="A23" s="12" t="inlineStr">
        <is>
          <t>2026/12</t>
        </is>
      </c>
      <c r="B23" s="12" t="n">
        <v>4</v>
      </c>
      <c r="C23" s="17" t="n">
        <v>55</v>
      </c>
      <c r="D23" s="18">
        <f>C23*$C$6</f>
        <v/>
      </c>
      <c r="E23" s="18">
        <f>D23*$C$7</f>
        <v/>
      </c>
      <c r="F23" s="18">
        <f>E23*$C$8</f>
        <v/>
      </c>
      <c r="G23" s="18">
        <f>F23*$C$9</f>
        <v/>
      </c>
      <c r="H23" s="18">
        <f>IF(B23&gt;$C$10,INDEX($G$20:$G$33,B23-$C$10),0)</f>
        <v/>
      </c>
      <c r="I23" s="18">
        <f>K22</f>
        <v/>
      </c>
      <c r="J23" s="18">
        <f>I23*$C$11</f>
        <v/>
      </c>
      <c r="K23" s="18">
        <f>I23+H23-J23</f>
        <v/>
      </c>
      <c r="L23" s="18">
        <f>L22+H23</f>
        <v/>
      </c>
      <c r="M23" s="19">
        <f>$C$12+H23*$C$13</f>
        <v/>
      </c>
      <c r="N23" s="19">
        <f>N22+M23</f>
        <v/>
      </c>
      <c r="O23" s="20">
        <f>K23-$C$15</f>
        <v/>
      </c>
      <c r="P23" s="21">
        <f>$C$15</f>
        <v/>
      </c>
    </row>
    <row r="24">
      <c r="A24" s="12" t="inlineStr">
        <is>
          <t>2027/01</t>
        </is>
      </c>
      <c r="B24" s="12" t="n">
        <v>5</v>
      </c>
      <c r="C24" s="5" t="n">
        <v>55</v>
      </c>
      <c r="D24" s="13">
        <f>C24*$C$6</f>
        <v/>
      </c>
      <c r="E24" s="13">
        <f>D24*$C$7</f>
        <v/>
      </c>
      <c r="F24" s="13">
        <f>E24*$C$8</f>
        <v/>
      </c>
      <c r="G24" s="13">
        <f>F24*$C$9</f>
        <v/>
      </c>
      <c r="H24" s="13">
        <f>IF(B24&gt;$C$10,INDEX($G$20:$G$33,B24-$C$10),0)</f>
        <v/>
      </c>
      <c r="I24" s="13">
        <f>K23</f>
        <v/>
      </c>
      <c r="J24" s="13">
        <f>I24*$C$11</f>
        <v/>
      </c>
      <c r="K24" s="13">
        <f>I24+H24-J24</f>
        <v/>
      </c>
      <c r="L24" s="13">
        <f>L23+H24</f>
        <v/>
      </c>
      <c r="M24" s="14">
        <f>$C$12+H24*$C$13</f>
        <v/>
      </c>
      <c r="N24" s="14">
        <f>N23+M24</f>
        <v/>
      </c>
      <c r="O24" s="15">
        <f>K24-$C$15</f>
        <v/>
      </c>
      <c r="P24" s="16">
        <f>$C$15</f>
        <v/>
      </c>
    </row>
    <row r="25">
      <c r="A25" s="12" t="inlineStr">
        <is>
          <t>2027/02</t>
        </is>
      </c>
      <c r="B25" s="12" t="n">
        <v>6</v>
      </c>
      <c r="C25" s="17" t="n">
        <v>55</v>
      </c>
      <c r="D25" s="18">
        <f>C25*$C$6</f>
        <v/>
      </c>
      <c r="E25" s="18">
        <f>D25*$C$7</f>
        <v/>
      </c>
      <c r="F25" s="18">
        <f>E25*$C$8</f>
        <v/>
      </c>
      <c r="G25" s="18">
        <f>F25*$C$9</f>
        <v/>
      </c>
      <c r="H25" s="18">
        <f>IF(B25&gt;$C$10,INDEX($G$20:$G$33,B25-$C$10),0)</f>
        <v/>
      </c>
      <c r="I25" s="18">
        <f>K24</f>
        <v/>
      </c>
      <c r="J25" s="18">
        <f>I25*$C$11</f>
        <v/>
      </c>
      <c r="K25" s="18">
        <f>I25+H25-J25</f>
        <v/>
      </c>
      <c r="L25" s="18">
        <f>L24+H25</f>
        <v/>
      </c>
      <c r="M25" s="19">
        <f>$C$12+H25*$C$13</f>
        <v/>
      </c>
      <c r="N25" s="19">
        <f>N24+M25</f>
        <v/>
      </c>
      <c r="O25" s="20">
        <f>K25-$C$15</f>
        <v/>
      </c>
      <c r="P25" s="21">
        <f>$C$15</f>
        <v/>
      </c>
    </row>
    <row r="26">
      <c r="A26" s="12" t="inlineStr">
        <is>
          <t>2027/03</t>
        </is>
      </c>
      <c r="B26" s="12" t="n">
        <v>7</v>
      </c>
      <c r="C26" s="5" t="n">
        <v>55</v>
      </c>
      <c r="D26" s="13">
        <f>C26*$C$6</f>
        <v/>
      </c>
      <c r="E26" s="13">
        <f>D26*$C$7</f>
        <v/>
      </c>
      <c r="F26" s="13">
        <f>E26*$C$8</f>
        <v/>
      </c>
      <c r="G26" s="13">
        <f>F26*$C$9</f>
        <v/>
      </c>
      <c r="H26" s="13">
        <f>IF(B26&gt;$C$10,INDEX($G$20:$G$33,B26-$C$10),0)</f>
        <v/>
      </c>
      <c r="I26" s="13">
        <f>K25</f>
        <v/>
      </c>
      <c r="J26" s="13">
        <f>I26*$C$11</f>
        <v/>
      </c>
      <c r="K26" s="13">
        <f>I26+H26-J26</f>
        <v/>
      </c>
      <c r="L26" s="13">
        <f>L25+H26</f>
        <v/>
      </c>
      <c r="M26" s="14">
        <f>$C$12+H26*$C$13</f>
        <v/>
      </c>
      <c r="N26" s="14">
        <f>N25+M26</f>
        <v/>
      </c>
      <c r="O26" s="15">
        <f>K26-$C$15</f>
        <v/>
      </c>
      <c r="P26" s="16">
        <f>$C$15</f>
        <v/>
      </c>
    </row>
    <row r="27">
      <c r="A27" s="12" t="inlineStr">
        <is>
          <t>2027/04</t>
        </is>
      </c>
      <c r="B27" s="12" t="n">
        <v>8</v>
      </c>
      <c r="C27" s="17" t="n">
        <v>55</v>
      </c>
      <c r="D27" s="18">
        <f>C27*$C$6</f>
        <v/>
      </c>
      <c r="E27" s="18">
        <f>D27*$C$7</f>
        <v/>
      </c>
      <c r="F27" s="18">
        <f>E27*$C$8</f>
        <v/>
      </c>
      <c r="G27" s="18">
        <f>F27*$C$9</f>
        <v/>
      </c>
      <c r="H27" s="18">
        <f>IF(B27&gt;$C$10,INDEX($G$20:$G$33,B27-$C$10),0)</f>
        <v/>
      </c>
      <c r="I27" s="18">
        <f>K26</f>
        <v/>
      </c>
      <c r="J27" s="18">
        <f>I27*$C$11</f>
        <v/>
      </c>
      <c r="K27" s="18">
        <f>I27+H27-J27</f>
        <v/>
      </c>
      <c r="L27" s="18">
        <f>L26+H27</f>
        <v/>
      </c>
      <c r="M27" s="19">
        <f>$C$12+H27*$C$13</f>
        <v/>
      </c>
      <c r="N27" s="19">
        <f>N26+M27</f>
        <v/>
      </c>
      <c r="O27" s="20">
        <f>K27-$C$15</f>
        <v/>
      </c>
      <c r="P27" s="21">
        <f>$C$15</f>
        <v/>
      </c>
    </row>
    <row r="28">
      <c r="A28" s="12" t="inlineStr">
        <is>
          <t>2027/05</t>
        </is>
      </c>
      <c r="B28" s="12" t="n">
        <v>9</v>
      </c>
      <c r="C28" s="5" t="n">
        <v>55</v>
      </c>
      <c r="D28" s="13">
        <f>C28*$C$6</f>
        <v/>
      </c>
      <c r="E28" s="13">
        <f>D28*$C$7</f>
        <v/>
      </c>
      <c r="F28" s="13">
        <f>E28*$C$8</f>
        <v/>
      </c>
      <c r="G28" s="13">
        <f>F28*$C$9</f>
        <v/>
      </c>
      <c r="H28" s="13">
        <f>IF(B28&gt;$C$10,INDEX($G$20:$G$33,B28-$C$10),0)</f>
        <v/>
      </c>
      <c r="I28" s="13">
        <f>K27</f>
        <v/>
      </c>
      <c r="J28" s="13">
        <f>I28*$C$11</f>
        <v/>
      </c>
      <c r="K28" s="13">
        <f>I28+H28-J28</f>
        <v/>
      </c>
      <c r="L28" s="13">
        <f>L27+H28</f>
        <v/>
      </c>
      <c r="M28" s="14">
        <f>$C$12+H28*$C$13</f>
        <v/>
      </c>
      <c r="N28" s="14">
        <f>N27+M28</f>
        <v/>
      </c>
      <c r="O28" s="15">
        <f>K28-$C$15</f>
        <v/>
      </c>
      <c r="P28" s="16">
        <f>$C$15</f>
        <v/>
      </c>
    </row>
    <row r="29">
      <c r="A29" s="12" t="inlineStr">
        <is>
          <t>2027/06</t>
        </is>
      </c>
      <c r="B29" s="12" t="n">
        <v>10</v>
      </c>
      <c r="C29" s="17" t="n">
        <v>55</v>
      </c>
      <c r="D29" s="18">
        <f>C29*$C$6</f>
        <v/>
      </c>
      <c r="E29" s="18">
        <f>D29*$C$7</f>
        <v/>
      </c>
      <c r="F29" s="18">
        <f>E29*$C$8</f>
        <v/>
      </c>
      <c r="G29" s="18">
        <f>F29*$C$9</f>
        <v/>
      </c>
      <c r="H29" s="18">
        <f>IF(B29&gt;$C$10,INDEX($G$20:$G$33,B29-$C$10),0)</f>
        <v/>
      </c>
      <c r="I29" s="18">
        <f>K28</f>
        <v/>
      </c>
      <c r="J29" s="18">
        <f>I29*$C$11</f>
        <v/>
      </c>
      <c r="K29" s="18">
        <f>I29+H29-J29</f>
        <v/>
      </c>
      <c r="L29" s="18">
        <f>L28+H29</f>
        <v/>
      </c>
      <c r="M29" s="19">
        <f>$C$12+H29*$C$13</f>
        <v/>
      </c>
      <c r="N29" s="19">
        <f>N28+M29</f>
        <v/>
      </c>
      <c r="O29" s="20">
        <f>K29-$C$15</f>
        <v/>
      </c>
      <c r="P29" s="21">
        <f>$C$15</f>
        <v/>
      </c>
    </row>
    <row r="30">
      <c r="A30" s="12" t="inlineStr">
        <is>
          <t>2027/07</t>
        </is>
      </c>
      <c r="B30" s="12" t="n">
        <v>11</v>
      </c>
      <c r="C30" s="5" t="n">
        <v>55</v>
      </c>
      <c r="D30" s="13">
        <f>C30*$C$6</f>
        <v/>
      </c>
      <c r="E30" s="13">
        <f>D30*$C$7</f>
        <v/>
      </c>
      <c r="F30" s="13">
        <f>E30*$C$8</f>
        <v/>
      </c>
      <c r="G30" s="13">
        <f>F30*$C$9</f>
        <v/>
      </c>
      <c r="H30" s="13">
        <f>IF(B30&gt;$C$10,INDEX($G$20:$G$33,B30-$C$10),0)</f>
        <v/>
      </c>
      <c r="I30" s="13">
        <f>K29</f>
        <v/>
      </c>
      <c r="J30" s="13">
        <f>I30*$C$11</f>
        <v/>
      </c>
      <c r="K30" s="13">
        <f>I30+H30-J30</f>
        <v/>
      </c>
      <c r="L30" s="13">
        <f>L29+H30</f>
        <v/>
      </c>
      <c r="M30" s="14">
        <f>$C$12+H30*$C$13</f>
        <v/>
      </c>
      <c r="N30" s="14">
        <f>N29+M30</f>
        <v/>
      </c>
      <c r="O30" s="15">
        <f>K30-$C$15</f>
        <v/>
      </c>
      <c r="P30" s="16">
        <f>$C$15</f>
        <v/>
      </c>
    </row>
    <row r="31">
      <c r="A31" s="12" t="inlineStr">
        <is>
          <t>2027/08</t>
        </is>
      </c>
      <c r="B31" s="12" t="n">
        <v>12</v>
      </c>
      <c r="C31" s="17" t="n">
        <v>55</v>
      </c>
      <c r="D31" s="18">
        <f>C31*$C$6</f>
        <v/>
      </c>
      <c r="E31" s="18">
        <f>D31*$C$7</f>
        <v/>
      </c>
      <c r="F31" s="18">
        <f>E31*$C$8</f>
        <v/>
      </c>
      <c r="G31" s="18">
        <f>F31*$C$9</f>
        <v/>
      </c>
      <c r="H31" s="18">
        <f>IF(B31&gt;$C$10,INDEX($G$20:$G$33,B31-$C$10),0)</f>
        <v/>
      </c>
      <c r="I31" s="18">
        <f>K30</f>
        <v/>
      </c>
      <c r="J31" s="18">
        <f>I31*$C$11</f>
        <v/>
      </c>
      <c r="K31" s="18">
        <f>I31+H31-J31</f>
        <v/>
      </c>
      <c r="L31" s="18">
        <f>L30+H31</f>
        <v/>
      </c>
      <c r="M31" s="19">
        <f>$C$12+H31*$C$13</f>
        <v/>
      </c>
      <c r="N31" s="19">
        <f>N30+M31</f>
        <v/>
      </c>
      <c r="O31" s="20">
        <f>K31-$C$15</f>
        <v/>
      </c>
      <c r="P31" s="21">
        <f>$C$15</f>
        <v/>
      </c>
    </row>
    <row r="32">
      <c r="A32" s="12" t="inlineStr">
        <is>
          <t>2027/09</t>
        </is>
      </c>
      <c r="B32" s="12" t="n">
        <v>13</v>
      </c>
      <c r="C32" s="5" t="n">
        <v>55</v>
      </c>
      <c r="D32" s="13">
        <f>C32*$C$6</f>
        <v/>
      </c>
      <c r="E32" s="13">
        <f>D32*$C$7</f>
        <v/>
      </c>
      <c r="F32" s="13">
        <f>E32*$C$8</f>
        <v/>
      </c>
      <c r="G32" s="13">
        <f>F32*$C$9</f>
        <v/>
      </c>
      <c r="H32" s="13">
        <f>IF(B32&gt;$C$10,INDEX($G$20:$G$33,B32-$C$10),0)</f>
        <v/>
      </c>
      <c r="I32" s="13">
        <f>K31</f>
        <v/>
      </c>
      <c r="J32" s="13">
        <f>I32*$C$11</f>
        <v/>
      </c>
      <c r="K32" s="13">
        <f>I32+H32-J32</f>
        <v/>
      </c>
      <c r="L32" s="13">
        <f>L31+H32</f>
        <v/>
      </c>
      <c r="M32" s="14">
        <f>$C$12+H32*$C$13</f>
        <v/>
      </c>
      <c r="N32" s="14">
        <f>N31+M32</f>
        <v/>
      </c>
      <c r="O32" s="15">
        <f>K32-$C$15</f>
        <v/>
      </c>
      <c r="P32" s="16">
        <f>$C$15</f>
        <v/>
      </c>
    </row>
    <row r="33">
      <c r="A33" s="12" t="inlineStr">
        <is>
          <t>2027/10</t>
        </is>
      </c>
      <c r="B33" s="12" t="n">
        <v>14</v>
      </c>
      <c r="C33" s="17" t="n">
        <v>55</v>
      </c>
      <c r="D33" s="18">
        <f>C33*$C$6</f>
        <v/>
      </c>
      <c r="E33" s="18">
        <f>D33*$C$7</f>
        <v/>
      </c>
      <c r="F33" s="18">
        <f>E33*$C$8</f>
        <v/>
      </c>
      <c r="G33" s="18">
        <f>F33*$C$9</f>
        <v/>
      </c>
      <c r="H33" s="18">
        <f>IF(B33&gt;$C$10,INDEX($G$20:$G$33,B33-$C$10),0)</f>
        <v/>
      </c>
      <c r="I33" s="18">
        <f>K32</f>
        <v/>
      </c>
      <c r="J33" s="18">
        <f>I33*$C$11</f>
        <v/>
      </c>
      <c r="K33" s="18">
        <f>I33+H33-J33</f>
        <v/>
      </c>
      <c r="L33" s="18">
        <f>L32+H33</f>
        <v/>
      </c>
      <c r="M33" s="19">
        <f>$C$12+H33*$C$13</f>
        <v/>
      </c>
      <c r="N33" s="19">
        <f>N32+M33</f>
        <v/>
      </c>
      <c r="O33" s="20">
        <f>K33-$C$15</f>
        <v/>
      </c>
      <c r="P33" s="21">
        <f>$C$15</f>
        <v/>
      </c>
    </row>
    <row r="36">
      <c r="B36" s="3" t="inlineStr">
        <is>
          <t>◆ サマリー（2027/10 着地）</t>
        </is>
      </c>
    </row>
    <row r="37">
      <c r="B37" s="3" t="inlineStr">
        <is>
          <t>期末純在籍（2027/10）</t>
        </is>
      </c>
      <c r="C37" s="22">
        <f>K33</f>
        <v/>
      </c>
    </row>
    <row r="38">
      <c r="B38" s="3" t="inlineStr">
        <is>
          <t>目標との過不足</t>
        </is>
      </c>
      <c r="C38" s="23">
        <f>K33-$C$15</f>
        <v/>
      </c>
    </row>
    <row r="39">
      <c r="B39" s="3" t="inlineStr">
        <is>
          <t>累計採用</t>
        </is>
      </c>
      <c r="C39" s="22">
        <f>L33</f>
        <v/>
      </c>
    </row>
    <row r="40">
      <c r="B40" s="3" t="inlineStr">
        <is>
          <t>累計直接費</t>
        </is>
      </c>
      <c r="C40" s="24">
        <f>N33</f>
        <v/>
      </c>
    </row>
    <row r="41">
      <c r="B41" s="3" t="inlineStr">
        <is>
          <t>定着投資 累計</t>
        </is>
      </c>
      <c r="C41" s="24">
        <f>C14*14</f>
        <v/>
      </c>
    </row>
    <row r="42">
      <c r="B42" s="3" t="inlineStr">
        <is>
          <t>総投資（直接費＋定着）</t>
        </is>
      </c>
      <c r="C42" s="24">
        <f>N33+C14*14</f>
        <v/>
      </c>
    </row>
    <row r="43">
      <c r="B43" s="3" t="inlineStr">
        <is>
          <t>採用単価（直接費÷採用）</t>
        </is>
      </c>
      <c r="C43" s="24">
        <f>IFERROR(N33/L33,0)</f>
        <v/>
      </c>
    </row>
    <row r="44">
      <c r="B44" s="3" t="inlineStr">
        <is>
          <t>純増1名あたり（直接費÷純増）</t>
        </is>
      </c>
      <c r="C44" s="24">
        <f>IFERROR(N33/(K33-$C$5),0)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採用ファネル 月次シミュレーション（5段・方針対応）</t>
        </is>
      </c>
    </row>
    <row r="2">
      <c r="A2" s="4" t="inlineStr"/>
    </row>
    <row r="3">
      <c r="A3" s="3" t="inlineStr">
        <is>
          <t>1. 黄色セルだけ編集します。</t>
        </is>
      </c>
    </row>
    <row r="4">
      <c r="A4" s="4" t="inlineStr">
        <is>
          <t xml:space="preserve">   ・前提ブロック（C5:C15）：移行率4段・リードタイム・離職率・単価・目標。</t>
        </is>
      </c>
    </row>
    <row r="5">
      <c r="A5" s="4" t="inlineStr">
        <is>
          <t xml:space="preserve">   ・★C7（1次面接→通過）が方針レバー。20期実測18% → 方針0.60に変えると在籍カーブが跳ねます。</t>
        </is>
      </c>
    </row>
    <row r="6">
      <c r="A6" s="4" t="inlineStr">
        <is>
          <t xml:space="preserve">   ・月次テーブルのC列（応募数）：月ごとの応募見込み（既定55＝660/年）。</t>
        </is>
      </c>
    </row>
    <row r="7">
      <c r="A7" s="4" t="inlineStr"/>
    </row>
    <row r="8">
      <c r="A8" s="3" t="inlineStr">
        <is>
          <t>2. 経営判断の見方：</t>
        </is>
      </c>
    </row>
    <row r="9">
      <c r="A9" s="4" t="inlineStr">
        <is>
          <t xml:space="preserve">   ・「月末在籍」列と折れ線＝毎月の頭数の積み上がり。</t>
        </is>
      </c>
    </row>
    <row r="10">
      <c r="A10" s="4" t="inlineStr">
        <is>
          <t xml:space="preserve">   ・応募を早い月に厚く入れる／1次通過を上げる、で在籍カーブが前倒し＝人が早く揃う。</t>
        </is>
      </c>
    </row>
    <row r="11">
      <c r="A11" s="4" t="inlineStr">
        <is>
          <t xml:space="preserve">   ・『早めに人が欲しい』なら前倒し＋1次通過改善、総額と単価を比較。</t>
        </is>
      </c>
    </row>
    <row r="12">
      <c r="A12" s="4" t="inlineStr"/>
    </row>
    <row r="13">
      <c r="A13" s="3" t="inlineStr">
        <is>
          <t>3. ファネル構造：</t>
        </is>
      </c>
    </row>
    <row r="14">
      <c r="A14" s="4" t="inlineStr">
        <is>
          <t xml:space="preserve">   1次面接=応募×C6 / 1次通過=1次面接×C7 / 内定=1次通過×C8 / 承諾=内定×C9。</t>
        </is>
      </c>
    </row>
    <row r="15">
      <c r="A15" s="4" t="inlineStr">
        <is>
          <t xml:space="preserve">   当月入社＝リードタイム月だけ後ろにずらした承諾。月末在籍＝月初＋入社−離職。</t>
        </is>
      </c>
    </row>
    <row r="16">
      <c r="A16" s="4" t="inlineStr"/>
    </row>
    <row r="17">
      <c r="A17" s="4" t="inlineStr">
        <is>
          <t>4. 初期値：応募→1次面接21%／1次通過18%（20期実測）／最終選考→内定60%／内定→承諾62%／定着（月次離職1.5%）。</t>
        </is>
      </c>
    </row>
    <row r="18">
      <c r="A18" s="4" t="inlineStr">
        <is>
          <t xml:space="preserve">   方針は1次通過を60%へ。詳細は docs/saiyou-houshin.md を参照。前提は実データで上書きすること。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2026-07-22T11:29:34Z</dcterms:created>
  <dcterms:modified xsi:type="dcterms:W3CDTF">2026-07-22T11:29:34Z</dcterms:modified>
</cp:coreProperties>
</file>